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ba19a5667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3be4537a334181"/>
    <x:sheet xmlns:r="http://schemas.openxmlformats.org/officeDocument/2006/relationships" name="Affected Records" sheetId="2" r:id="Red83a85b59454019"/>
    <x:sheet xmlns:r="http://schemas.openxmlformats.org/officeDocument/2006/relationships" name="Source Data" sheetId="3" r:id="Rc85467b203964558"/>
    <x:sheet xmlns:r="http://schemas.openxmlformats.org/officeDocument/2006/relationships" name="Distribution Output" sheetId="4" r:id="R28992051492d41f6"/>
    <x:sheet xmlns:r="http://schemas.openxmlformats.org/officeDocument/2006/relationships" name="Checks" sheetId="5" r:id="R29f2c985b473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0.00&quot;%&quot;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000000"/>
      <x:name val="Aptos"/>
    </x:font>
    <x:font>
      <x:b/>
      <x:sz val="16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2">
    <x:border/>
    <x:border>
      <x:right style="thin">
        <x:color rgb="FFB4C6E7"/>
      </x:right>
    </x:border>
    <x:border>
      <x:left style="thin">
        <x:color rgb="FFB4C6E7"/>
      </x:left>
      <x:right style="thin">
        <x:color rgb="FFB4C6E7"/>
      </x:right>
    </x:border>
    <x:border>
      <x:left style="thin">
        <x:color rgb="FFB4C6E7"/>
      </x:left>
    </x:border>
    <x:border>
      <x:left style="thin">
        <x:color rgb="FF8096B0"/>
      </x:left>
      <x:right style="thin">
        <x:color rgb="FFB4C6E7"/>
      </x:right>
      <x:top style="thin">
        <x:color rgb="FF8096B0"/>
      </x:top>
    </x:border>
    <x:border>
      <x:left style="thin">
        <x:color rgb="FFB4C6E7"/>
      </x:left>
      <x:right style="thin">
        <x:color rgb="FFB4C6E7"/>
      </x:right>
      <x:top style="thin">
        <x:color rgb="FF8096B0"/>
      </x:top>
    </x:border>
    <x:border>
      <x:left style="thin">
        <x:color rgb="FFB4C6E7"/>
      </x:left>
      <x:right style="thin">
        <x:color rgb="FF8096B0"/>
      </x:right>
      <x:top style="thin">
        <x:color rgb="FF8096B0"/>
      </x:top>
    </x:border>
    <x:border>
      <x:left style="thin">
        <x:color rgb="FF8096B0"/>
      </x:left>
    </x:border>
    <x:border>
      <x:right style="thin">
        <x:color rgb="FF8096B0"/>
      </x:right>
    </x:border>
    <x:border>
      <x:left style="thin">
        <x:color rgb="FF8096B0"/>
      </x:left>
      <x:bottom style="thin">
        <x:color rgb="FF8096B0"/>
      </x:bottom>
    </x:border>
    <x:border>
      <x:bottom style="thin">
        <x:color rgb="FF8096B0"/>
      </x:bottom>
    </x:border>
    <x:border>
      <x:right style="thin">
        <x:color rgb="FF8096B0"/>
      </x:right>
      <x:bottom style="thin">
        <x:color rgb="FF8096B0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wrapText="1"/>
    </x:xf>
    <x:xf numFmtId="0" fontId="4" fillId="2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ca61a99fd4266" /><Relationship Type="http://schemas.openxmlformats.org/officeDocument/2006/relationships/theme" Target="/xl/theme/theme1.xml" Id="Ra1f1bd329885480a" /><Relationship Type="http://schemas.openxmlformats.org/officeDocument/2006/relationships/sharedStrings" Target="/xl/sharedStrings.xml" Id="Rd7ef3dd2a9e94fcb" /><Relationship Type="http://schemas.openxmlformats.org/officeDocument/2006/relationships/worksheet" Target="/xl/worksheets/sheet1.xml" Id="Ra83be4537a334181" /><Relationship Type="http://schemas.openxmlformats.org/officeDocument/2006/relationships/worksheet" Target="/xl/worksheets/sheet2.xml" Id="Red83a85b59454019" /><Relationship Type="http://schemas.openxmlformats.org/officeDocument/2006/relationships/worksheet" Target="/xl/worksheets/sheet3.xml" Id="Rc85467b203964558" /><Relationship Type="http://schemas.openxmlformats.org/officeDocument/2006/relationships/worksheet" Target="/xl/worksheets/sheet4.xml" Id="R28992051492d41f6" /><Relationship Type="http://schemas.openxmlformats.org/officeDocument/2006/relationships/worksheet" Target="/xl/worksheets/sheet5.xml" Id="R29f2c985b473484c" /><Relationship Type="http://schemas.microsoft.com/office/2017/10/relationships/person" Target="/xl/persons/person.xml" Id="R4c2108939ede4c40" /></Relationships>
</file>

<file path=xl/persons/person.xml><?xml version="1.0" encoding="utf-8"?>
<xltc:personList xmlns:xltc="http://schemas.microsoft.com/office/spreadsheetml/2018/threadedcomments">
  <xltc:person displayName="Joshua Kinnear" id="{80D4BA5B-F303-438E-94D7-AB2B6F9B0864}"/>
</xltc:personList>
</file>

<file path=xl/tables/table1.xml><?xml version="1.0" encoding="utf-8"?>
<x:table xmlns:x="http://schemas.openxmlformats.org/spreadsheetml/2006/main" id="1" name="AffectedRecordsTable" displayName="AffectedRecordsTable" ref="A3:I8" headerRowCount="1" totalsRowCount="0" totalsRowShown="0">
  <x:tableColumns count="9">
    <x:tableColumn id="1" name="Discrepancy Type"/>
    <x:tableColumn id="2" name="Client ID"/>
    <x:tableColumn id="3" name="Client Name"/>
    <x:tableColumn id="4" name="Expected Amount"/>
    <x:tableColumn id="5" name="Distributed Amount"/>
    <x:tableColumn id="6" name="Variance"/>
    <x:tableColumn id="7" name="Source Rows"/>
    <x:tableColumn id="8" name="Output Rows"/>
    <x:tableColumn id="9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DataTable" displayName="SourceDataTable" ref="A3:E15" headerRowCount="1" totalsRowCount="0" totalsRowShown="0">
  <x:tableColumns count="5">
    <x:tableColumn id="1" name="client_id"/>
    <x:tableColumn id="2" name="client_name"/>
    <x:tableColumn id="3" name="source_amount"/>
    <x:tableColumn id="4" name="fee_pct"/>
    <x:tableColumn id="5" name="expected_net_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tributionOutputTable" displayName="DistributionOutputTable" ref="A3:D16" headerRowCount="1" totalsRowCount="0" totalsRowShown="0">
  <x:tableColumns count="4">
    <x:tableColumn id="1" name="client_id"/>
    <x:tableColumn id="2" name="client_name"/>
    <x:tableColumn id="3" name="distributed_amount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62ef1d681446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c9b39aca8a4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dc9f3888f947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2" hidden="0" customWidth="1"/>
    <x:col min="3" max="3" width="34" hidden="0" customWidth="1"/>
    <x:col min="4" max="4" width="3" hidden="0" customWidth="1"/>
  </x:cols>
  <x:sheetData>
    <x:row r="1" ht="30" customHeight="1">
      <x:c r="A1" s="48" t="str">
        <x:v>Bulk Distribution QA — Discrepancy Summary</x:v>
      </x:c>
      <x:c r="B1" s="48" t="str">
        <x:v>Bulk Distribution QA — Discrepancy Summary</x:v>
      </x:c>
      <x:c r="C1" s="48" t="str">
        <x:v>Bulk Distribution QA — Discrepancy Summary</x:v>
      </x:c>
      <x:c r="D1" s="48" t="str">
        <x:v>Bulk Distribution QA — Discrepancy Summary</x:v>
      </x:c>
    </x:row>
    <x:row r="2">
      <x:c r="A2" s="29" t="str">
        <x:v>Cent-accurate reconciliation | Sample batch | 5 affected clients</x:v>
      </x:c>
      <x:c r="B2" s="29" t="str">
        <x:v>Cent-accurate reconciliation | Sample batch | 5 affected clients</x:v>
      </x:c>
      <x:c r="C2" s="29" t="str">
        <x:v>Cent-accurate reconciliation | Sample batch | 5 affected clients</x:v>
      </x:c>
      <x:c r="D2" s="29" t="str">
        <x:v>Cent-accurate reconciliation | Sample batch | 5 affected clients</x:v>
      </x:c>
    </x:row>
    <x:row r="3">
      <x:c r="A3" s="29"/>
      <x:c r="B3" s="29"/>
      <x:c r="C3" s="29"/>
      <x:c r="D3" s="29"/>
    </x:row>
    <x:row r="4">
      <x:c r="A4" s="30" t="str">
        <x:v>Discrepancy Type</x:v>
      </x:c>
      <x:c r="B4" s="31" t="str">
        <x:v>Count</x:v>
      </x:c>
      <x:c r="C4" s="32" t="str">
        <x:v>Affected Clients</x:v>
      </x:c>
      <x:c r="D4" s="29"/>
    </x:row>
    <x:row r="5">
      <x:c r="A5" s="33" t="str">
        <x:v>Calculation / business-rule error</x:v>
      </x:c>
      <x:c r="B5" s="29" t="n">
        <x:f>COUNTIF('Affected Records'!$A$4:$A$8,A5)</x:f>
        <x:v>1</x:v>
      </x:c>
      <x:c r="C5" s="34" t="str">
        <x:v>C011</x:v>
      </x:c>
      <x:c r="D5" s="29"/>
    </x:row>
    <x:row r="6">
      <x:c r="A6" s="33" t="str">
        <x:v>Duplicate distribution record</x:v>
      </x:c>
      <x:c r="B6" s="29" t="n">
        <x:f>COUNTIF('Affected Records'!$A$4:$A$8,A6)</x:f>
        <x:v>1</x:v>
      </x:c>
      <x:c r="C6" s="34" t="str">
        <x:v>C007</x:v>
      </x:c>
      <x:c r="D6" s="29"/>
    </x:row>
    <x:row r="7">
      <x:c r="A7" s="33" t="str">
        <x:v>Missing distribution record</x:v>
      </x:c>
      <x:c r="B7" s="29" t="n">
        <x:f>COUNTIF('Affected Records'!$A$4:$A$8,A7)</x:f>
        <x:v>1</x:v>
      </x:c>
      <x:c r="C7" s="34" t="str">
        <x:v>C005</x:v>
      </x:c>
      <x:c r="D7" s="29"/>
    </x:row>
    <x:row r="8">
      <x:c r="A8" s="33" t="str">
        <x:v>Rounding / amount mismatch</x:v>
      </x:c>
      <x:c r="B8" s="29" t="n">
        <x:f>COUNTIF('Affected Records'!$A$4:$A$8,A8)</x:f>
        <x:v>1</x:v>
      </x:c>
      <x:c r="C8" s="34" t="str">
        <x:v>C002</x:v>
      </x:c>
      <x:c r="D8" s="29"/>
    </x:row>
    <x:row r="9">
      <x:c r="A9" s="33" t="str">
        <x:v>Unexpected / orphan output</x:v>
      </x:c>
      <x:c r="B9" s="29" t="n">
        <x:f>COUNTIF('Affected Records'!$A$4:$A$8,A9)</x:f>
        <x:v>1</x:v>
      </x:c>
      <x:c r="C9" s="34" t="str">
        <x:v>C013</x:v>
      </x:c>
      <x:c r="D9" s="29"/>
    </x:row>
    <x:row r="10">
      <x:c r="A10" s="35" t="str">
        <x:v>TOTAL</x:v>
      </x:c>
      <x:c r="B10" s="36" t="n">
        <x:f>SUM(B5:B9)</x:f>
        <x:v>5</x:v>
      </x:c>
      <x:c r="C10" s="37" t="str">
        <x:v>C002, C005, C007, C011, C013</x:v>
      </x:c>
      <x:c r="D10" s="29"/>
    </x:row>
    <x:row r="11">
      <x:c r="A11" s="29"/>
      <x:c r="B11" s="29"/>
      <x:c r="C11" s="29"/>
      <x:c r="D11" s="29"/>
    </x:row>
    <x:row r="12" ht="34" customHeight="1">
      <x:c r="A12" s="38" t="str">
        <x:v>Review note: each category is counted once per affected client. See Affected Records for amounts, variance, row counts, and evidence.</x:v>
      </x:c>
      <x:c r="B12" s="38" t="str">
        <x:v>Review note: each category is counted once per affected client. See Affected Records for amounts, variance, row counts, and evidence.</x:v>
      </x:c>
      <x:c r="C12" s="38" t="str">
        <x:v>Review note: each category is counted once per affected client. See Affected Records for amounts, variance, row counts, and evidence.</x:v>
      </x:c>
      <x:c r="D12" s="38" t="str">
        <x:v>Review note: each category is counted once per affected client. See Affected Records for amounts, variance, row counts, and evidence.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58" hidden="0" customWidth="1"/>
  </x:cols>
  <x:sheetData>
    <x:row r="1" ht="30" customHeight="1">
      <x:c r="A1" s="28" t="str">
        <x:v>Affected Client Records</x:v>
      </x:c>
      <x:c r="B1" s="28" t="str">
        <x:v>Affected Client Records</x:v>
      </x:c>
      <x:c r="C1" s="28" t="str">
        <x:v>Affected Client Records</x:v>
      </x:c>
      <x:c r="D1" s="28" t="str">
        <x:v>Affected Client Records</x:v>
      </x:c>
      <x:c r="E1" s="28" t="str">
        <x:v>Affected Client Records</x:v>
      </x:c>
      <x:c r="F1" s="28" t="str">
        <x:v>Affected Client Records</x:v>
      </x:c>
      <x:c r="G1" s="28" t="str">
        <x:v>Affected Client Records</x:v>
      </x:c>
      <x:c r="H1" s="28" t="str">
        <x:v>Affected Client Records</x:v>
      </x:c>
      <x:c r="I1" s="28" t="str">
        <x:v>Affected Client Records</x:v>
      </x:c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</x:row>
    <x:row r="3">
      <x:c r="A3" s="39" t="str">
        <x:v>Discrepancy Type</x:v>
      </x:c>
      <x:c r="B3" s="40" t="str">
        <x:v>Client ID</x:v>
      </x:c>
      <x:c r="C3" s="40" t="str">
        <x:v>Client Name</x:v>
      </x:c>
      <x:c r="D3" s="40" t="str">
        <x:v>Expected Amount</x:v>
      </x:c>
      <x:c r="E3" s="40" t="str">
        <x:v>Distributed Amount</x:v>
      </x:c>
      <x:c r="F3" s="40" t="str">
        <x:v>Variance</x:v>
      </x:c>
      <x:c r="G3" s="40" t="str">
        <x:v>Source Rows</x:v>
      </x:c>
      <x:c r="H3" s="40" t="str">
        <x:v>Output Rows</x:v>
      </x:c>
      <x:c r="I3" s="41" t="str">
        <x:v>Evidence</x:v>
      </x:c>
    </x:row>
    <x:row r="4">
      <x:c r="A4" s="29" t="str">
        <x:v>Rounding / amount mismatch</x:v>
      </x:c>
      <x:c r="B4" s="29" t="str">
        <x:v>C002</x:v>
      </x:c>
      <x:c r="C4" s="29" t="str">
        <x:v>Client B</x:v>
      </x:c>
      <x:c r="D4" s="42" t="n">
        <x:v>5145.74</x:v>
      </x:c>
      <x:c r="E4" s="42" t="n">
        <x:v>5145.73</x:v>
      </x:c>
      <x:c r="F4" s="42" t="n">
        <x:v>-0.01</x:v>
      </x:c>
      <x:c r="G4" s="29" t="n">
        <x:v>1</x:v>
      </x:c>
      <x:c r="H4" s="29" t="n">
        <x:v>1</x:v>
      </x:c>
      <x:c r="I4" s="43" t="str">
        <x:v>Distributed 5145.73 differs from expected 5145.74 by -0.01</x:v>
      </x:c>
    </x:row>
    <x:row r="5">
      <x:c r="A5" s="29" t="str">
        <x:v>Missing distribution record</x:v>
      </x:c>
      <x:c r="B5" s="29" t="str">
        <x:v>C005</x:v>
      </x:c>
      <x:c r="C5" s="29" t="str">
        <x:v>Client E</x:v>
      </x:c>
      <x:c r="D5" s="42" t="n">
        <x:v>2940</x:v>
      </x:c>
      <x:c r="E5" s="42" t="str"/>
      <x:c r="F5" s="42" t="str"/>
      <x:c r="G5" s="29" t="n">
        <x:v>1</x:v>
      </x:c>
      <x:c r="H5" s="29" t="n">
        <x:v>0</x:v>
      </x:c>
      <x:c r="I5" s="43" t="str">
        <x:v>Source calculation exists but distribution output is missing</x:v>
      </x:c>
    </x:row>
    <x:row r="6">
      <x:c r="A6" s="29" t="str">
        <x:v>Duplicate distribution record</x:v>
      </x:c>
      <x:c r="B6" s="29" t="str">
        <x:v>C007</x:v>
      </x:c>
      <x:c r="C6" s="29" t="str">
        <x:v>Client G</x:v>
      </x:c>
      <x:c r="D6" s="42" t="n">
        <x:v>44100</x:v>
      </x:c>
      <x:c r="E6" s="42" t="n">
        <x:v>44100</x:v>
      </x:c>
      <x:c r="F6" s="42" t="n">
        <x:v>0</x:v>
      </x:c>
      <x:c r="G6" s="29" t="n">
        <x:v>1</x:v>
      </x:c>
      <x:c r="H6" s="29" t="n">
        <x:v>2</x:v>
      </x:c>
      <x:c r="I6" s="43" t="str">
        <x:v>2 output rows found; expected exactly 1</x:v>
      </x:c>
    </x:row>
    <x:row r="7">
      <x:c r="A7" s="29" t="str">
        <x:v>Calculation / business-rule error</x:v>
      </x:c>
      <x:c r="B7" s="29" t="str">
        <x:v>C011</x:v>
      </x:c>
      <x:c r="C7" s="29" t="str">
        <x:v>Client K</x:v>
      </x:c>
      <x:c r="D7" s="42" t="n">
        <x:v>-196</x:v>
      </x:c>
      <x:c r="E7" s="42" t="n">
        <x:v>0</x:v>
      </x:c>
      <x:c r="F7" s="42" t="n">
        <x:v>196</x:v>
      </x:c>
      <x:c r="G7" s="29" t="n">
        <x:v>1</x:v>
      </x:c>
      <x:c r="H7" s="29" t="n">
        <x:v>1</x:v>
      </x:c>
      <x:c r="I7" s="43" t="str">
        <x:v>Distributed 0.00 differs from expected -196.00 by 196.00</x:v>
      </x:c>
    </x:row>
    <x:row r="8">
      <x:c r="A8" s="29" t="str">
        <x:v>Unexpected / orphan output</x:v>
      </x:c>
      <x:c r="B8" s="29" t="str">
        <x:v>C013</x:v>
      </x:c>
      <x:c r="C8" s="29" t="str">
        <x:v>Client M</x:v>
      </x:c>
      <x:c r="D8" s="42" t="str"/>
      <x:c r="E8" s="42" t="n">
        <x:v>320</x:v>
      </x:c>
      <x:c r="F8" s="42" t="str"/>
      <x:c r="G8" s="29" t="n">
        <x:v>0</x:v>
      </x:c>
      <x:c r="H8" s="29" t="n">
        <x:v>1</x:v>
      </x:c>
      <x:c r="I8" s="43" t="str">
        <x:v>Distribution output exists with no source calculation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c962ef1d681446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0" customHeight="1">
      <x:c r="A1" s="28" t="str">
        <x:v>Source Calculation Data (Read-only fixture)</x:v>
      </x:c>
      <x:c r="B1" s="28" t="str">
        <x:v>Source Calculation Data (Read-only fixture)</x:v>
      </x:c>
      <x:c r="C1" s="28" t="str">
        <x:v>Source Calculation Data (Read-only fixture)</x:v>
      </x:c>
      <x:c r="D1" s="28" t="str">
        <x:v>Source Calculation Data (Read-only fixture)</x:v>
      </x:c>
      <x:c r="E1" s="28" t="str">
        <x:v>Source Calculation Data (Read-only fixture)</x:v>
      </x:c>
    </x:row>
    <x:row r="2">
      <x:c r="A2" s="29"/>
      <x:c r="B2" s="29"/>
      <x:c r="C2" s="29"/>
      <x:c r="D2" s="29"/>
      <x:c r="E2" s="29"/>
    </x:row>
    <x:row r="3">
      <x:c r="A3" s="39" t="str">
        <x:v>client_id</x:v>
      </x:c>
      <x:c r="B3" s="40" t="str">
        <x:v>client_name</x:v>
      </x:c>
      <x:c r="C3" s="40" t="str">
        <x:v>source_amount</x:v>
      </x:c>
      <x:c r="D3" s="40" t="str">
        <x:v>fee_pct</x:v>
      </x:c>
      <x:c r="E3" s="41" t="str">
        <x:v>expected_net_amount</x:v>
      </x:c>
    </x:row>
    <x:row r="4">
      <x:c r="A4" s="29" t="str">
        <x:v>C001</x:v>
      </x:c>
      <x:c r="B4" s="29" t="str">
        <x:v>Client A</x:v>
      </x:c>
      <x:c r="C4" s="42" t="n">
        <x:v>10000</x:v>
      </x:c>
      <x:c r="D4" s="44" t="n">
        <x:v>2</x:v>
      </x:c>
      <x:c r="E4" s="42" t="n">
        <x:v>9800</x:v>
      </x:c>
    </x:row>
    <x:row r="5">
      <x:c r="A5" s="29" t="str">
        <x:v>C002</x:v>
      </x:c>
      <x:c r="B5" s="29" t="str">
        <x:v>Client B</x:v>
      </x:c>
      <x:c r="C5" s="42" t="n">
        <x:v>5250.75</x:v>
      </x:c>
      <x:c r="D5" s="44" t="n">
        <x:v>2</x:v>
      </x:c>
      <x:c r="E5" s="42" t="n">
        <x:v>5145.74</x:v>
      </x:c>
    </x:row>
    <x:row r="6">
      <x:c r="A6" s="29" t="str">
        <x:v>C003</x:v>
      </x:c>
      <x:c r="B6" s="29" t="str">
        <x:v>Client C</x:v>
      </x:c>
      <x:c r="C6" s="42" t="n">
        <x:v>875</x:v>
      </x:c>
      <x:c r="D6" s="44" t="n">
        <x:v>2</x:v>
      </x:c>
      <x:c r="E6" s="42" t="n">
        <x:v>857.5</x:v>
      </x:c>
    </x:row>
    <x:row r="7">
      <x:c r="A7" s="29" t="str">
        <x:v>C004</x:v>
      </x:c>
      <x:c r="B7" s="29" t="str">
        <x:v>Client D</x:v>
      </x:c>
      <x:c r="C7" s="42" t="n">
        <x:v>12340.1</x:v>
      </x:c>
      <x:c r="D7" s="44" t="n">
        <x:v>2</x:v>
      </x:c>
      <x:c r="E7" s="42" t="n">
        <x:v>12093.3</x:v>
      </x:c>
    </x:row>
    <x:row r="8">
      <x:c r="A8" s="29" t="str">
        <x:v>C005</x:v>
      </x:c>
      <x:c r="B8" s="29" t="str">
        <x:v>Client E</x:v>
      </x:c>
      <x:c r="C8" s="42" t="n">
        <x:v>3000</x:v>
      </x:c>
      <x:c r="D8" s="44" t="n">
        <x:v>2</x:v>
      </x:c>
      <x:c r="E8" s="42" t="n">
        <x:v>2940</x:v>
      </x:c>
    </x:row>
    <x:row r="9">
      <x:c r="A9" s="29" t="str">
        <x:v>C006</x:v>
      </x:c>
      <x:c r="B9" s="29" t="str">
        <x:v>Client F</x:v>
      </x:c>
      <x:c r="C9" s="42" t="n">
        <x:v>999.99</x:v>
      </x:c>
      <x:c r="D9" s="44" t="n">
        <x:v>2</x:v>
      </x:c>
      <x:c r="E9" s="42" t="n">
        <x:v>979.99</x:v>
      </x:c>
    </x:row>
    <x:row r="10">
      <x:c r="A10" s="29" t="str">
        <x:v>C007</x:v>
      </x:c>
      <x:c r="B10" s="29" t="str">
        <x:v>Client G</x:v>
      </x:c>
      <x:c r="C10" s="42" t="n">
        <x:v>45000</x:v>
      </x:c>
      <x:c r="D10" s="44" t="n">
        <x:v>2</x:v>
      </x:c>
      <x:c r="E10" s="42" t="n">
        <x:v>44100</x:v>
      </x:c>
    </x:row>
    <x:row r="11">
      <x:c r="A11" s="29" t="str">
        <x:v>C008</x:v>
      </x:c>
      <x:c r="B11" s="29" t="str">
        <x:v>Client H</x:v>
      </x:c>
      <x:c r="C11" s="42" t="n">
        <x:v>150</x:v>
      </x:c>
      <x:c r="D11" s="44" t="n">
        <x:v>2</x:v>
      </x:c>
      <x:c r="E11" s="42" t="n">
        <x:v>147</x:v>
      </x:c>
    </x:row>
    <x:row r="12">
      <x:c r="A12" s="29" t="str">
        <x:v>C009</x:v>
      </x:c>
      <x:c r="B12" s="29" t="str">
        <x:v>Client I</x:v>
      </x:c>
      <x:c r="C12" s="42" t="n">
        <x:v>2500.5</x:v>
      </x:c>
      <x:c r="D12" s="44" t="n">
        <x:v>2</x:v>
      </x:c>
      <x:c r="E12" s="42" t="n">
        <x:v>2450.49</x:v>
      </x:c>
    </x:row>
    <x:row r="13">
      <x:c r="A13" s="29" t="str">
        <x:v>C010</x:v>
      </x:c>
      <x:c r="B13" s="29" t="str">
        <x:v>Client J</x:v>
      </x:c>
      <x:c r="C13" s="42" t="n">
        <x:v>7777.77</x:v>
      </x:c>
      <x:c r="D13" s="44" t="n">
        <x:v>2</x:v>
      </x:c>
      <x:c r="E13" s="42" t="n">
        <x:v>7622.21</x:v>
      </x:c>
    </x:row>
    <x:row r="14">
      <x:c r="A14" s="29" t="str">
        <x:v>C011</x:v>
      </x:c>
      <x:c r="B14" s="29" t="str">
        <x:v>Client K</x:v>
      </x:c>
      <x:c r="C14" s="42" t="n">
        <x:v>-200</x:v>
      </x:c>
      <x:c r="D14" s="44" t="n">
        <x:v>2</x:v>
      </x:c>
      <x:c r="E14" s="42" t="n">
        <x:v>-196</x:v>
      </x:c>
    </x:row>
    <x:row r="15">
      <x:c r="A15" s="29" t="str">
        <x:v>C012</x:v>
      </x:c>
      <x:c r="B15" s="29" t="str">
        <x:v>Client L</x:v>
      </x:c>
      <x:c r="C15" s="42" t="n">
        <x:v>6000</x:v>
      </x:c>
      <x:c r="D15" s="44" t="n">
        <x:v>2</x:v>
      </x:c>
      <x:c r="E15" s="42" t="n">
        <x:v>5880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3c9b39aca8a4d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0" customHeight="1">
      <x:c r="A1" s="28" t="str">
        <x:v>Distribution Output Data (Read-only fixture)</x:v>
      </x:c>
      <x:c r="B1" s="28" t="str">
        <x:v>Distribution Output Data (Read-only fixture)</x:v>
      </x:c>
      <x:c r="C1" s="28" t="str">
        <x:v>Distribution Output Data (Read-only fixture)</x:v>
      </x:c>
      <x:c r="D1" s="28" t="str">
        <x:v>Distribution Output Data (Read-only fixture)</x:v>
      </x:c>
    </x:row>
    <x:row r="2">
      <x:c r="A2" s="29"/>
      <x:c r="B2" s="29"/>
      <x:c r="C2" s="29"/>
      <x:c r="D2" s="29"/>
    </x:row>
    <x:row r="3">
      <x:c r="A3" s="39" t="str">
        <x:v>client_id</x:v>
      </x:c>
      <x:c r="B3" s="40" t="str">
        <x:v>client_name</x:v>
      </x:c>
      <x:c r="C3" s="40" t="str">
        <x:v>distributed_amount</x:v>
      </x:c>
      <x:c r="D3" s="41" t="str">
        <x:v>status</x:v>
      </x:c>
    </x:row>
    <x:row r="4">
      <x:c r="A4" s="29" t="str">
        <x:v>C001</x:v>
      </x:c>
      <x:c r="B4" s="29" t="str">
        <x:v>Client A</x:v>
      </x:c>
      <x:c r="C4" s="42" t="n">
        <x:v>9800</x:v>
      </x:c>
      <x:c r="D4" s="29" t="str">
        <x:v>COMPLETED</x:v>
      </x:c>
    </x:row>
    <x:row r="5">
      <x:c r="A5" s="29" t="str">
        <x:v>C002</x:v>
      </x:c>
      <x:c r="B5" s="29" t="str">
        <x:v>Client B</x:v>
      </x:c>
      <x:c r="C5" s="42" t="n">
        <x:v>5145.73</x:v>
      </x:c>
      <x:c r="D5" s="29" t="str">
        <x:v>COMPLETED</x:v>
      </x:c>
    </x:row>
    <x:row r="6">
      <x:c r="A6" s="29" t="str">
        <x:v>C003</x:v>
      </x:c>
      <x:c r="B6" s="29" t="str">
        <x:v>Client C</x:v>
      </x:c>
      <x:c r="C6" s="42" t="n">
        <x:v>857.5</x:v>
      </x:c>
      <x:c r="D6" s="29" t="str">
        <x:v>COMPLETED</x:v>
      </x:c>
    </x:row>
    <x:row r="7">
      <x:c r="A7" s="29" t="str">
        <x:v>C004</x:v>
      </x:c>
      <x:c r="B7" s="29" t="str">
        <x:v>Client D</x:v>
      </x:c>
      <x:c r="C7" s="42" t="n">
        <x:v>12093.3</x:v>
      </x:c>
      <x:c r="D7" s="29" t="str">
        <x:v>COMPLETED</x:v>
      </x:c>
    </x:row>
    <x:row r="8">
      <x:c r="A8" s="29" t="str">
        <x:v>C006</x:v>
      </x:c>
      <x:c r="B8" s="29" t="str">
        <x:v>Client F</x:v>
      </x:c>
      <x:c r="C8" s="42" t="n">
        <x:v>979.99</x:v>
      </x:c>
      <x:c r="D8" s="29" t="str">
        <x:v>COMPLETED</x:v>
      </x:c>
    </x:row>
    <x:row r="9">
      <x:c r="A9" s="29" t="str">
        <x:v>C007</x:v>
      </x:c>
      <x:c r="B9" s="29" t="str">
        <x:v>Client G</x:v>
      </x:c>
      <x:c r="C9" s="42" t="n">
        <x:v>44100</x:v>
      </x:c>
      <x:c r="D9" s="29" t="str">
        <x:v>COMPLETED</x:v>
      </x:c>
    </x:row>
    <x:row r="10">
      <x:c r="A10" s="29" t="str">
        <x:v>C007</x:v>
      </x:c>
      <x:c r="B10" s="29" t="str">
        <x:v>Client G</x:v>
      </x:c>
      <x:c r="C10" s="42" t="n">
        <x:v>44100</x:v>
      </x:c>
      <x:c r="D10" s="29" t="str">
        <x:v>COMPLETED</x:v>
      </x:c>
    </x:row>
    <x:row r="11">
      <x:c r="A11" s="29" t="str">
        <x:v>C008</x:v>
      </x:c>
      <x:c r="B11" s="29" t="str">
        <x:v>Client H</x:v>
      </x:c>
      <x:c r="C11" s="42" t="n">
        <x:v>147</x:v>
      </x:c>
      <x:c r="D11" s="29" t="str">
        <x:v>COMPLETED</x:v>
      </x:c>
    </x:row>
    <x:row r="12">
      <x:c r="A12" s="29" t="str">
        <x:v>C009</x:v>
      </x:c>
      <x:c r="B12" s="29" t="str">
        <x:v>Client I</x:v>
      </x:c>
      <x:c r="C12" s="42" t="n">
        <x:v>2450.49</x:v>
      </x:c>
      <x:c r="D12" s="29" t="str">
        <x:v>COMPLETED</x:v>
      </x:c>
    </x:row>
    <x:row r="13">
      <x:c r="A13" s="29" t="str">
        <x:v>C010</x:v>
      </x:c>
      <x:c r="B13" s="29" t="str">
        <x:v>Client J</x:v>
      </x:c>
      <x:c r="C13" s="42" t="n">
        <x:v>7622.21</x:v>
      </x:c>
      <x:c r="D13" s="29" t="str">
        <x:v>COMPLETED</x:v>
      </x:c>
    </x:row>
    <x:row r="14">
      <x:c r="A14" s="29" t="str">
        <x:v>C011</x:v>
      </x:c>
      <x:c r="B14" s="29" t="str">
        <x:v>Client K</x:v>
      </x:c>
      <x:c r="C14" s="42" t="n">
        <x:v>0</x:v>
      </x:c>
      <x:c r="D14" s="29" t="str">
        <x:v>COMPLETED</x:v>
      </x:c>
    </x:row>
    <x:row r="15">
      <x:c r="A15" s="29" t="str">
        <x:v>C012</x:v>
      </x:c>
      <x:c r="B15" s="29" t="str">
        <x:v>Client L</x:v>
      </x:c>
      <x:c r="C15" s="42" t="n">
        <x:v>5880</x:v>
      </x:c>
      <x:c r="D15" s="29" t="str">
        <x:v>COMPLETED</x:v>
      </x:c>
    </x:row>
    <x:row r="16">
      <x:c r="A16" s="29" t="str">
        <x:v>C013</x:v>
      </x:c>
      <x:c r="B16" s="29" t="str">
        <x:v>Client M</x:v>
      </x:c>
      <x:c r="C16" s="42" t="n">
        <x:v>320</x:v>
      </x:c>
      <x:c r="D16" s="29" t="str">
        <x:v>COMPLETED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6dc9f3888f947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28" t="str">
        <x:v>Workbook Control Checks</x:v>
      </x:c>
      <x:c r="B1" s="28" t="str">
        <x:v>Workbook Control Checks</x:v>
      </x:c>
      <x:c r="C1" s="28" t="str">
        <x:v>Workbook Control Checks</x:v>
      </x:c>
      <x:c r="D1" s="28" t="str">
        <x:v>Workbook Control Checks</x:v>
      </x:c>
      <x:c r="E1" s="28" t="str">
        <x:v>Workbook Control Checks</x:v>
      </x:c>
      <x:c r="F1" s="28" t="str">
        <x:v>Workbook Control Checks</x:v>
      </x:c>
    </x:row>
    <x:row r="2">
      <x:c r="A2" s="29"/>
      <x:c r="B2" s="29"/>
      <x:c r="C2" s="29"/>
      <x:c r="D2" s="29"/>
      <x:c r="E2" s="29"/>
      <x:c r="F2" s="29"/>
    </x:row>
    <x:row r="3">
      <x:c r="A3" s="30" t="str">
        <x:v>Check</x:v>
      </x:c>
      <x:c r="B3" s="31" t="str">
        <x:v>Actual</x:v>
      </x:c>
      <x:c r="C3" s="31" t="str">
        <x:v>Expected</x:v>
      </x:c>
      <x:c r="D3" s="31" t="str">
        <x:v>Difference</x:v>
      </x:c>
      <x:c r="E3" s="31" t="str">
        <x:v>Tolerance</x:v>
      </x:c>
      <x:c r="F3" s="32" t="str">
        <x:v>Status</x:v>
      </x:c>
    </x:row>
    <x:row r="4">
      <x:c r="A4" s="33" t="str">
        <x:v>Detail discrepancy rows</x:v>
      </x:c>
      <x:c r="B4" s="29" t="n">
        <x:f>COUNTA('Affected Records'!B4:B8)</x:f>
        <x:v>5</x:v>
      </x:c>
      <x:c r="C4" s="29" t="n">
        <x:v>5</x:v>
      </x:c>
      <x:c r="D4" s="29" t="n">
        <x:f>B4-C4</x:f>
        <x:v>0</x:v>
      </x:c>
      <x:c r="E4" s="29" t="n">
        <x:v>0</x:v>
      </x:c>
      <x:c r="F4" s="34" t="str">
        <x:f>IF(ABS(D4)&lt;=E4,"OK","FAIL")</x:f>
        <x:v>OK</x:v>
      </x:c>
    </x:row>
    <x:row r="5">
      <x:c r="A5" s="33" t="str">
        <x:v>Summary discrepancy count</x:v>
      </x:c>
      <x:c r="B5" s="29" t="n">
        <x:f>'Summary'!B10</x:f>
        <x:v>5</x:v>
      </x:c>
      <x:c r="C5" s="29" t="n">
        <x:v>5</x:v>
      </x:c>
      <x:c r="D5" s="29" t="n">
        <x:f>B5-C5</x:f>
        <x:v>0</x:v>
      </x:c>
      <x:c r="E5" s="29" t="n">
        <x:v>0</x:v>
      </x:c>
      <x:c r="F5" s="34" t="str">
        <x:f>IF(ABS(D5)&lt;=E5,"OK","FAIL")</x:f>
        <x:v>OK</x:v>
      </x:c>
    </x:row>
    <x:row r="6">
      <x:c r="A6" s="45" t="str">
        <x:v>Affected client IDs populated</x:v>
      </x:c>
      <x:c r="B6" s="46" t="n">
        <x:f>COUNTA('Affected Records'!B4:B8)</x:f>
        <x:v>5</x:v>
      </x:c>
      <x:c r="C6" s="46" t="n">
        <x:v>5</x:v>
      </x:c>
      <x:c r="D6" s="46" t="n">
        <x:f>B6-C6</x:f>
        <x:v>0</x:v>
      </x:c>
      <x:c r="E6" s="46" t="n">
        <x:v>0</x:v>
      </x:c>
      <x:c r="F6" s="47" t="str">
        <x:f>IF(ABS(D6)&lt;=E6,"OK","FAIL")</x:f>
        <x:v>OK</x:v>
      </x:c>
    </x:row>
  </x:sheetData>
  <x:mergeCells>
    <x:mergeCell ref="A1:F1"/>
  </x:mergeCells>
  <x:conditionalFormatting sqref="F4:F6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